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  <sheet name="查询示例" sheetId="2" state="visible" r:id="rId2"/>
    <sheet name="筛选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部门</t>
        </is>
      </c>
      <c r="D1" t="inlineStr">
        <is>
          <t>薪资</t>
        </is>
      </c>
      <c r="E1" t="inlineStr">
        <is>
          <t>入职日期</t>
        </is>
      </c>
      <c r="F1" t="inlineStr">
        <is>
          <t>工龄</t>
        </is>
      </c>
      <c r="G1" t="inlineStr">
        <is>
          <t>薪资等级</t>
        </is>
      </c>
    </row>
    <row r="2">
      <c r="A2" t="inlineStr">
        <is>
          <t>001</t>
        </is>
      </c>
      <c r="B2" t="inlineStr">
        <is>
          <t>张伟</t>
        </is>
      </c>
      <c r="C2" t="inlineStr">
        <is>
          <t>财务部</t>
        </is>
      </c>
      <c r="D2" t="n">
        <v>7309</v>
      </c>
      <c r="E2" t="inlineStr">
        <is>
          <t>2019-04-02</t>
        </is>
      </c>
      <c r="F2" t="inlineStr">
        <is>
          <t>5年8个月</t>
        </is>
      </c>
      <c r="G2" t="inlineStr">
        <is>
          <t>底薪</t>
        </is>
      </c>
    </row>
    <row r="3">
      <c r="A3" t="inlineStr">
        <is>
          <t>002</t>
        </is>
      </c>
      <c r="B3" t="inlineStr">
        <is>
          <t>李娜</t>
        </is>
      </c>
      <c r="C3" t="inlineStr">
        <is>
          <t>技术部</t>
        </is>
      </c>
      <c r="D3" t="n">
        <v>16455</v>
      </c>
      <c r="E3" t="inlineStr">
        <is>
          <t>2018-04-13</t>
        </is>
      </c>
      <c r="F3" t="inlineStr">
        <is>
          <t>6年7个月</t>
        </is>
      </c>
      <c r="G3" t="inlineStr">
        <is>
          <t>高薪</t>
        </is>
      </c>
    </row>
    <row r="4">
      <c r="A4" t="inlineStr">
        <is>
          <t>003</t>
        </is>
      </c>
      <c r="B4" t="inlineStr">
        <is>
          <t>王强</t>
        </is>
      </c>
      <c r="C4" t="inlineStr">
        <is>
          <t>技术部</t>
        </is>
      </c>
      <c r="D4" t="n">
        <v>13108</v>
      </c>
      <c r="E4" t="inlineStr">
        <is>
          <t>2021-01-31</t>
        </is>
      </c>
      <c r="F4" t="inlineStr">
        <is>
          <t>3年10个月</t>
        </is>
      </c>
      <c r="G4" t="inlineStr">
        <is>
          <t>中薪</t>
        </is>
      </c>
    </row>
    <row r="5">
      <c r="A5" t="inlineStr">
        <is>
          <t>004</t>
        </is>
      </c>
      <c r="B5" t="inlineStr">
        <is>
          <t>刘洋</t>
        </is>
      </c>
      <c r="C5" t="inlineStr">
        <is>
          <t>市场部</t>
        </is>
      </c>
      <c r="D5" t="n">
        <v>18857</v>
      </c>
      <c r="E5" t="inlineStr">
        <is>
          <t>2020-09-30</t>
        </is>
      </c>
      <c r="F5" t="inlineStr">
        <is>
          <t>4年2个月</t>
        </is>
      </c>
      <c r="G5" t="inlineStr">
        <is>
          <t>高薪</t>
        </is>
      </c>
    </row>
    <row r="6">
      <c r="A6" t="inlineStr">
        <is>
          <t>005</t>
        </is>
      </c>
      <c r="B6" t="inlineStr">
        <is>
          <t>陈静</t>
        </is>
      </c>
      <c r="C6" t="inlineStr">
        <is>
          <t>人事部</t>
        </is>
      </c>
      <c r="D6" t="n">
        <v>24830</v>
      </c>
      <c r="E6" t="inlineStr">
        <is>
          <t>2020-07-03</t>
        </is>
      </c>
      <c r="F6" t="inlineStr">
        <is>
          <t>4年5个月</t>
        </is>
      </c>
      <c r="G6" t="inlineStr">
        <is>
          <t>高薪</t>
        </is>
      </c>
    </row>
    <row r="7">
      <c r="A7" t="inlineStr">
        <is>
          <t>006</t>
        </is>
      </c>
      <c r="B7" t="inlineStr">
        <is>
          <t>杨帆</t>
        </is>
      </c>
      <c r="C7" t="inlineStr">
        <is>
          <t>销售部</t>
        </is>
      </c>
      <c r="D7" t="n">
        <v>15954</v>
      </c>
      <c r="E7" t="inlineStr">
        <is>
          <t>2019-07-26</t>
        </is>
      </c>
      <c r="F7" t="inlineStr">
        <is>
          <t>5年4个月</t>
        </is>
      </c>
      <c r="G7" t="inlineStr">
        <is>
          <t>高薪</t>
        </is>
      </c>
    </row>
    <row r="8">
      <c r="A8" t="inlineStr">
        <is>
          <t>007</t>
        </is>
      </c>
      <c r="B8" t="inlineStr">
        <is>
          <t>赵敏</t>
        </is>
      </c>
      <c r="C8" t="inlineStr">
        <is>
          <t>销售部</t>
        </is>
      </c>
      <c r="D8" t="n">
        <v>9329</v>
      </c>
      <c r="E8" t="inlineStr">
        <is>
          <t>2019-02-24</t>
        </is>
      </c>
      <c r="F8" t="inlineStr">
        <is>
          <t>5年9个月</t>
        </is>
      </c>
      <c r="G8" t="inlineStr">
        <is>
          <t>中薪</t>
        </is>
      </c>
    </row>
    <row r="9">
      <c r="A9" t="inlineStr">
        <is>
          <t>008</t>
        </is>
      </c>
      <c r="B9" t="inlineStr">
        <is>
          <t>黄磊</t>
        </is>
      </c>
      <c r="C9" t="inlineStr">
        <is>
          <t>销售部</t>
        </is>
      </c>
      <c r="D9" t="n">
        <v>16130</v>
      </c>
      <c r="E9" t="inlineStr">
        <is>
          <t>2018-12-23</t>
        </is>
      </c>
      <c r="F9" t="inlineStr">
        <is>
          <t>5年11个月</t>
        </is>
      </c>
      <c r="G9" t="inlineStr">
        <is>
          <t>高薪</t>
        </is>
      </c>
    </row>
    <row r="10">
      <c r="A10" t="inlineStr">
        <is>
          <t>009</t>
        </is>
      </c>
      <c r="B10" t="inlineStr">
        <is>
          <t>周婷</t>
        </is>
      </c>
      <c r="C10" t="inlineStr">
        <is>
          <t>技术部</t>
        </is>
      </c>
      <c r="D10" t="n">
        <v>15641</v>
      </c>
      <c r="E10" t="inlineStr">
        <is>
          <t>2022-09-25</t>
        </is>
      </c>
      <c r="F10" t="inlineStr">
        <is>
          <t>2年2个月</t>
        </is>
      </c>
      <c r="G10" t="inlineStr">
        <is>
          <t>高薪</t>
        </is>
      </c>
    </row>
    <row r="11">
      <c r="A11" t="inlineStr">
        <is>
          <t>010</t>
        </is>
      </c>
      <c r="B11" t="inlineStr">
        <is>
          <t>吴磊</t>
        </is>
      </c>
      <c r="C11" t="inlineStr">
        <is>
          <t>技术部</t>
        </is>
      </c>
      <c r="D11" t="n">
        <v>10865</v>
      </c>
      <c r="E11" t="inlineStr">
        <is>
          <t>2018-05-11</t>
        </is>
      </c>
      <c r="F11" t="inlineStr">
        <is>
          <t>6年6个月</t>
        </is>
      </c>
      <c r="G11" t="inlineStr">
        <is>
          <t>中薪</t>
        </is>
      </c>
    </row>
    <row r="12">
      <c r="A12" t="inlineStr">
        <is>
          <t>011</t>
        </is>
      </c>
      <c r="B12" t="inlineStr">
        <is>
          <t>徐丽</t>
        </is>
      </c>
      <c r="C12" t="inlineStr">
        <is>
          <t>人事部</t>
        </is>
      </c>
      <c r="D12" t="n">
        <v>12748</v>
      </c>
      <c r="E12" t="inlineStr">
        <is>
          <t>2018-05-03</t>
        </is>
      </c>
      <c r="F12" t="inlineStr">
        <is>
          <t>6年7个月</t>
        </is>
      </c>
      <c r="G12" t="inlineStr">
        <is>
          <t>中薪</t>
        </is>
      </c>
    </row>
    <row r="13">
      <c r="A13" t="inlineStr">
        <is>
          <t>012</t>
        </is>
      </c>
      <c r="B13" t="inlineStr">
        <is>
          <t>孙杰</t>
        </is>
      </c>
      <c r="C13" t="inlineStr">
        <is>
          <t>市场部</t>
        </is>
      </c>
      <c r="D13" t="n">
        <v>6339</v>
      </c>
      <c r="E13" t="inlineStr">
        <is>
          <t>2019-01-19</t>
        </is>
      </c>
      <c r="F13" t="inlineStr">
        <is>
          <t>5年10个月</t>
        </is>
      </c>
      <c r="G13" t="inlineStr">
        <is>
          <t>底薪</t>
        </is>
      </c>
    </row>
    <row r="14">
      <c r="A14" t="inlineStr">
        <is>
          <t>013</t>
        </is>
      </c>
      <c r="B14" t="inlineStr">
        <is>
          <t>马云</t>
        </is>
      </c>
      <c r="C14" t="inlineStr">
        <is>
          <t>销售部</t>
        </is>
      </c>
      <c r="D14" t="n">
        <v>23960</v>
      </c>
      <c r="E14" t="inlineStr">
        <is>
          <t>2020-06-14</t>
        </is>
      </c>
      <c r="F14" t="inlineStr">
        <is>
          <t>4年5个月</t>
        </is>
      </c>
      <c r="G14" t="inlineStr">
        <is>
          <t>高薪</t>
        </is>
      </c>
    </row>
    <row r="15">
      <c r="A15" t="inlineStr">
        <is>
          <t>014</t>
        </is>
      </c>
      <c r="B15" t="inlineStr">
        <is>
          <t>朱琳</t>
        </is>
      </c>
      <c r="C15" t="inlineStr">
        <is>
          <t>人事部</t>
        </is>
      </c>
      <c r="D15" t="n">
        <v>24806</v>
      </c>
      <c r="E15" t="inlineStr">
        <is>
          <t>2020-08-10</t>
        </is>
      </c>
      <c r="F15" t="inlineStr">
        <is>
          <t>4年3个月</t>
        </is>
      </c>
      <c r="G15" t="inlineStr">
        <is>
          <t>高薪</t>
        </is>
      </c>
    </row>
    <row r="16">
      <c r="A16" t="inlineStr">
        <is>
          <t>015</t>
        </is>
      </c>
      <c r="B16" t="inlineStr">
        <is>
          <t>胡军</t>
        </is>
      </c>
      <c r="C16" t="inlineStr">
        <is>
          <t>人事部</t>
        </is>
      </c>
      <c r="D16" t="n">
        <v>9607</v>
      </c>
      <c r="E16" t="inlineStr">
        <is>
          <t>2023-09-01</t>
        </is>
      </c>
      <c r="F16" t="inlineStr">
        <is>
          <t>1年3个月</t>
        </is>
      </c>
      <c r="G16" t="inlineStr">
        <is>
          <t>中薪</t>
        </is>
      </c>
    </row>
    <row r="17">
      <c r="A17" t="inlineStr">
        <is>
          <t>016</t>
        </is>
      </c>
      <c r="B17" t="inlineStr">
        <is>
          <t>郭芳</t>
        </is>
      </c>
      <c r="C17" t="inlineStr">
        <is>
          <t>市场部</t>
        </is>
      </c>
      <c r="D17" t="n">
        <v>21502</v>
      </c>
      <c r="E17" t="inlineStr">
        <is>
          <t>2018-04-19</t>
        </is>
      </c>
      <c r="F17" t="inlineStr">
        <is>
          <t>6年7个月</t>
        </is>
      </c>
      <c r="G17" t="inlineStr">
        <is>
          <t>高薪</t>
        </is>
      </c>
    </row>
    <row r="18">
      <c r="A18" t="inlineStr">
        <is>
          <t>017</t>
        </is>
      </c>
      <c r="B18" t="inlineStr">
        <is>
          <t>何平</t>
        </is>
      </c>
      <c r="C18" t="inlineStr">
        <is>
          <t>人事部</t>
        </is>
      </c>
      <c r="D18" t="n">
        <v>12021</v>
      </c>
      <c r="E18" t="inlineStr">
        <is>
          <t>2020-03-25</t>
        </is>
      </c>
      <c r="F18" t="inlineStr">
        <is>
          <t>4年8个月</t>
        </is>
      </c>
      <c r="G18" t="inlineStr">
        <is>
          <t>中薪</t>
        </is>
      </c>
    </row>
    <row r="19">
      <c r="A19" t="inlineStr">
        <is>
          <t>018</t>
        </is>
      </c>
      <c r="B19" t="inlineStr">
        <is>
          <t>高峰</t>
        </is>
      </c>
      <c r="C19" t="inlineStr">
        <is>
          <t>市场部</t>
        </is>
      </c>
      <c r="D19" t="n">
        <v>9354</v>
      </c>
      <c r="E19" t="inlineStr">
        <is>
          <t>2022-09-15</t>
        </is>
      </c>
      <c r="F19" t="inlineStr">
        <is>
          <t>2年2个月</t>
        </is>
      </c>
      <c r="G19" t="inlineStr">
        <is>
          <t>中薪</t>
        </is>
      </c>
    </row>
    <row r="20">
      <c r="A20" t="inlineStr">
        <is>
          <t>019</t>
        </is>
      </c>
      <c r="B20" t="inlineStr">
        <is>
          <t>林雪</t>
        </is>
      </c>
      <c r="C20" t="inlineStr">
        <is>
          <t>财务部</t>
        </is>
      </c>
      <c r="D20" t="n">
        <v>19147</v>
      </c>
      <c r="E20" t="inlineStr">
        <is>
          <t>2020-06-21</t>
        </is>
      </c>
      <c r="F20" t="inlineStr">
        <is>
          <t>4年5个月</t>
        </is>
      </c>
      <c r="G20" t="inlineStr">
        <is>
          <t>高薪</t>
        </is>
      </c>
    </row>
    <row r="21">
      <c r="A21" t="inlineStr">
        <is>
          <t>020</t>
        </is>
      </c>
      <c r="B21" t="inlineStr">
        <is>
          <t>郑宇</t>
        </is>
      </c>
      <c r="C21" t="inlineStr">
        <is>
          <t>市场部</t>
        </is>
      </c>
      <c r="D21" t="n">
        <v>16433</v>
      </c>
      <c r="E21" t="inlineStr">
        <is>
          <t>2023-01-14</t>
        </is>
      </c>
      <c r="F21" t="inlineStr">
        <is>
          <t>1年10个月</t>
        </is>
      </c>
      <c r="G21" t="inlineStr">
        <is>
          <t>高薪</t>
        </is>
      </c>
    </row>
    <row r="22">
      <c r="A22" t="inlineStr">
        <is>
          <t>021</t>
        </is>
      </c>
      <c r="B22" t="inlineStr">
        <is>
          <t>谢婷</t>
        </is>
      </c>
      <c r="C22" t="inlineStr">
        <is>
          <t>销售部</t>
        </is>
      </c>
      <c r="D22" t="n">
        <v>12845</v>
      </c>
      <c r="E22" t="inlineStr">
        <is>
          <t>2021-02-13</t>
        </is>
      </c>
      <c r="F22" t="inlineStr">
        <is>
          <t>3年9个月</t>
        </is>
      </c>
      <c r="G22" t="inlineStr">
        <is>
          <t>中薪</t>
        </is>
      </c>
    </row>
    <row r="23">
      <c r="A23" t="inlineStr">
        <is>
          <t>022</t>
        </is>
      </c>
      <c r="B23" t="inlineStr">
        <is>
          <t>宋波</t>
        </is>
      </c>
      <c r="C23" t="inlineStr">
        <is>
          <t>销售部</t>
        </is>
      </c>
      <c r="D23" t="n">
        <v>24971</v>
      </c>
      <c r="E23" t="inlineStr">
        <is>
          <t>2018-01-27</t>
        </is>
      </c>
      <c r="F23" t="inlineStr">
        <is>
          <t>6年10个月</t>
        </is>
      </c>
      <c r="G23" t="inlineStr">
        <is>
          <t>高薪</t>
        </is>
      </c>
    </row>
    <row r="24">
      <c r="A24" t="inlineStr">
        <is>
          <t>023</t>
        </is>
      </c>
      <c r="B24" t="inlineStr">
        <is>
          <t>唐丽</t>
        </is>
      </c>
      <c r="C24" t="inlineStr">
        <is>
          <t>市场部</t>
        </is>
      </c>
      <c r="D24" t="n">
        <v>22250</v>
      </c>
      <c r="E24" t="inlineStr">
        <is>
          <t>2019-10-16</t>
        </is>
      </c>
      <c r="F24" t="inlineStr">
        <is>
          <t>5年1个月</t>
        </is>
      </c>
      <c r="G24" t="inlineStr">
        <is>
          <t>高薪</t>
        </is>
      </c>
    </row>
    <row r="25">
      <c r="A25" t="inlineStr">
        <is>
          <t>024</t>
        </is>
      </c>
      <c r="B25" t="inlineStr">
        <is>
          <t>许强</t>
        </is>
      </c>
      <c r="C25" t="inlineStr">
        <is>
          <t>财务部</t>
        </is>
      </c>
      <c r="D25" t="n">
        <v>11196</v>
      </c>
      <c r="E25" t="inlineStr">
        <is>
          <t>2022-09-28</t>
        </is>
      </c>
      <c r="F25" t="inlineStr">
        <is>
          <t>2年2个月</t>
        </is>
      </c>
      <c r="G25" t="inlineStr">
        <is>
          <t>中薪</t>
        </is>
      </c>
    </row>
    <row r="26">
      <c r="A26" t="inlineStr">
        <is>
          <t>025</t>
        </is>
      </c>
      <c r="B26" t="inlineStr">
        <is>
          <t>韩梅</t>
        </is>
      </c>
      <c r="C26" t="inlineStr">
        <is>
          <t>财务部</t>
        </is>
      </c>
      <c r="D26" t="n">
        <v>14626</v>
      </c>
      <c r="E26" t="inlineStr">
        <is>
          <t>2021-10-25</t>
        </is>
      </c>
      <c r="F26" t="inlineStr">
        <is>
          <t>3年1个月</t>
        </is>
      </c>
      <c r="G26" t="inlineStr">
        <is>
          <t>中薪</t>
        </is>
      </c>
    </row>
    <row r="27">
      <c r="A27" t="inlineStr">
        <is>
          <t>026</t>
        </is>
      </c>
      <c r="B27" t="inlineStr">
        <is>
          <t>冯刚</t>
        </is>
      </c>
      <c r="C27" t="inlineStr">
        <is>
          <t>销售部</t>
        </is>
      </c>
      <c r="D27" t="n">
        <v>5832</v>
      </c>
      <c r="E27" t="inlineStr">
        <is>
          <t>2021-02-12</t>
        </is>
      </c>
      <c r="F27" t="inlineStr">
        <is>
          <t>3年9个月</t>
        </is>
      </c>
      <c r="G27" t="inlineStr">
        <is>
          <t>底薪</t>
        </is>
      </c>
    </row>
    <row r="28">
      <c r="A28" t="inlineStr">
        <is>
          <t>027</t>
        </is>
      </c>
      <c r="B28" t="inlineStr">
        <is>
          <t>曹颖</t>
        </is>
      </c>
      <c r="C28" t="inlineStr">
        <is>
          <t>财务部</t>
        </is>
      </c>
      <c r="D28" t="n">
        <v>11505</v>
      </c>
      <c r="E28" t="inlineStr">
        <is>
          <t>2019-09-29</t>
        </is>
      </c>
      <c r="F28" t="inlineStr">
        <is>
          <t>5年2个月</t>
        </is>
      </c>
      <c r="G28" t="inlineStr">
        <is>
          <t>中薪</t>
        </is>
      </c>
    </row>
    <row r="29">
      <c r="A29" t="inlineStr">
        <is>
          <t>028</t>
        </is>
      </c>
      <c r="B29" t="inlineStr">
        <is>
          <t>彭亮</t>
        </is>
      </c>
      <c r="C29" t="inlineStr">
        <is>
          <t>人事部</t>
        </is>
      </c>
      <c r="D29" t="n">
        <v>5051</v>
      </c>
      <c r="E29" t="inlineStr">
        <is>
          <t>2020-05-31</t>
        </is>
      </c>
      <c r="F29" t="inlineStr">
        <is>
          <t>4年6个月</t>
        </is>
      </c>
      <c r="G29" t="inlineStr">
        <is>
          <t>底薪</t>
        </is>
      </c>
    </row>
    <row r="30">
      <c r="A30" t="inlineStr">
        <is>
          <t>029</t>
        </is>
      </c>
      <c r="B30" t="inlineStr">
        <is>
          <t>曾静</t>
        </is>
      </c>
      <c r="C30" t="inlineStr">
        <is>
          <t>技术部</t>
        </is>
      </c>
      <c r="D30" t="n">
        <v>14336</v>
      </c>
      <c r="E30" t="inlineStr">
        <is>
          <t>2021-10-10</t>
        </is>
      </c>
      <c r="F30" t="inlineStr">
        <is>
          <t>3年1个月</t>
        </is>
      </c>
      <c r="G30" t="inlineStr">
        <is>
          <t>中薪</t>
        </is>
      </c>
    </row>
    <row r="31">
      <c r="A31" t="inlineStr">
        <is>
          <t>030</t>
        </is>
      </c>
      <c r="B31" t="inlineStr">
        <is>
          <t>董伟</t>
        </is>
      </c>
      <c r="C31" t="inlineStr">
        <is>
          <t>人事部</t>
        </is>
      </c>
      <c r="D31" t="n">
        <v>17145</v>
      </c>
      <c r="E31" t="inlineStr">
        <is>
          <t>2019-02-23</t>
        </is>
      </c>
      <c r="F31" t="inlineStr">
        <is>
          <t>5年9个月</t>
        </is>
      </c>
      <c r="G31" t="inlineStr">
        <is>
          <t>高薪</t>
        </is>
      </c>
    </row>
    <row r="32">
      <c r="A32" t="inlineStr">
        <is>
          <t>031</t>
        </is>
      </c>
      <c r="B32" t="inlineStr">
        <is>
          <t>袁芳</t>
        </is>
      </c>
      <c r="C32" t="inlineStr">
        <is>
          <t>销售部</t>
        </is>
      </c>
      <c r="D32" t="n">
        <v>12773</v>
      </c>
      <c r="E32" t="inlineStr">
        <is>
          <t>2019-01-15</t>
        </is>
      </c>
      <c r="F32" t="inlineStr">
        <is>
          <t>5年10个月</t>
        </is>
      </c>
      <c r="G32" t="inlineStr">
        <is>
          <t>中薪</t>
        </is>
      </c>
    </row>
    <row r="33">
      <c r="A33" t="inlineStr">
        <is>
          <t>032</t>
        </is>
      </c>
      <c r="B33" t="inlineStr">
        <is>
          <t>蒋军</t>
        </is>
      </c>
      <c r="C33" t="inlineStr">
        <is>
          <t>财务部</t>
        </is>
      </c>
      <c r="D33" t="n">
        <v>6168</v>
      </c>
      <c r="E33" t="inlineStr">
        <is>
          <t>2022-04-06</t>
        </is>
      </c>
      <c r="F33" t="inlineStr">
        <is>
          <t>2年8个月</t>
        </is>
      </c>
      <c r="G33" t="inlineStr">
        <is>
          <t>底薪</t>
        </is>
      </c>
    </row>
    <row r="34">
      <c r="A34" t="inlineStr">
        <is>
          <t>033</t>
        </is>
      </c>
      <c r="B34" t="inlineStr">
        <is>
          <t>蔡丽</t>
        </is>
      </c>
      <c r="C34" t="inlineStr">
        <is>
          <t>市场部</t>
        </is>
      </c>
      <c r="D34" t="n">
        <v>10913</v>
      </c>
      <c r="E34" t="inlineStr">
        <is>
          <t>2019-02-01</t>
        </is>
      </c>
      <c r="F34" t="inlineStr">
        <is>
          <t>5年10个月</t>
        </is>
      </c>
      <c r="G34" t="inlineStr">
        <is>
          <t>中薪</t>
        </is>
      </c>
    </row>
    <row r="35">
      <c r="A35" t="inlineStr">
        <is>
          <t>034</t>
        </is>
      </c>
      <c r="B35" t="inlineStr">
        <is>
          <t>贾平</t>
        </is>
      </c>
      <c r="C35" t="inlineStr">
        <is>
          <t>技术部</t>
        </is>
      </c>
      <c r="D35" t="n">
        <v>22585</v>
      </c>
      <c r="E35" t="inlineStr">
        <is>
          <t>2022-01-10</t>
        </is>
      </c>
      <c r="F35" t="inlineStr">
        <is>
          <t>2年10个月</t>
        </is>
      </c>
      <c r="G35" t="inlineStr">
        <is>
          <t>高薪</t>
        </is>
      </c>
    </row>
    <row r="36">
      <c r="A36" t="inlineStr">
        <is>
          <t>035</t>
        </is>
      </c>
      <c r="B36" t="inlineStr">
        <is>
          <t>魏强</t>
        </is>
      </c>
      <c r="C36" t="inlineStr">
        <is>
          <t>市场部</t>
        </is>
      </c>
      <c r="D36" t="n">
        <v>14311</v>
      </c>
      <c r="E36" t="inlineStr">
        <is>
          <t>2021-11-09</t>
        </is>
      </c>
      <c r="F36" t="inlineStr">
        <is>
          <t>3年0个月</t>
        </is>
      </c>
      <c r="G36" t="inlineStr">
        <is>
          <t>中薪</t>
        </is>
      </c>
    </row>
    <row r="37">
      <c r="A37" t="inlineStr">
        <is>
          <t>036</t>
        </is>
      </c>
      <c r="B37" t="inlineStr">
        <is>
          <t>薛芳</t>
        </is>
      </c>
      <c r="C37" t="inlineStr">
        <is>
          <t>销售部</t>
        </is>
      </c>
      <c r="D37" t="n">
        <v>10967</v>
      </c>
      <c r="E37" t="inlineStr">
        <is>
          <t>2020-12-19</t>
        </is>
      </c>
      <c r="F37" t="inlineStr">
        <is>
          <t>3年11个月</t>
        </is>
      </c>
      <c r="G37" t="inlineStr">
        <is>
          <t>中薪</t>
        </is>
      </c>
    </row>
    <row r="38">
      <c r="A38" t="inlineStr">
        <is>
          <t>037</t>
        </is>
      </c>
      <c r="B38" t="inlineStr">
        <is>
          <t>叶婷</t>
        </is>
      </c>
      <c r="C38" t="inlineStr">
        <is>
          <t>财务部</t>
        </is>
      </c>
      <c r="D38" t="n">
        <v>20358</v>
      </c>
      <c r="E38" t="inlineStr">
        <is>
          <t>2018-06-27</t>
        </is>
      </c>
      <c r="F38" t="inlineStr">
        <is>
          <t>6年5个月</t>
        </is>
      </c>
      <c r="G38" t="inlineStr">
        <is>
          <t>高薪</t>
        </is>
      </c>
    </row>
    <row r="39">
      <c r="A39" t="inlineStr">
        <is>
          <t>038</t>
        </is>
      </c>
      <c r="B39" t="inlineStr">
        <is>
          <t>阎军</t>
        </is>
      </c>
      <c r="C39" t="inlineStr">
        <is>
          <t>市场部</t>
        </is>
      </c>
      <c r="D39" t="n">
        <v>16964</v>
      </c>
      <c r="E39" t="inlineStr">
        <is>
          <t>2023-02-25</t>
        </is>
      </c>
      <c r="F39" t="inlineStr">
        <is>
          <t>1年9个月</t>
        </is>
      </c>
      <c r="G39" t="inlineStr">
        <is>
          <t>高薪</t>
        </is>
      </c>
    </row>
    <row r="40">
      <c r="A40" t="inlineStr">
        <is>
          <t>039</t>
        </is>
      </c>
      <c r="B40" t="inlineStr">
        <is>
          <t>余丽</t>
        </is>
      </c>
      <c r="C40" t="inlineStr">
        <is>
          <t>市场部</t>
        </is>
      </c>
      <c r="D40" t="n">
        <v>19035</v>
      </c>
      <c r="E40" t="inlineStr">
        <is>
          <t>2019-05-27</t>
        </is>
      </c>
      <c r="F40" t="inlineStr">
        <is>
          <t>5年6个月</t>
        </is>
      </c>
      <c r="G40" t="inlineStr">
        <is>
          <t>高薪</t>
        </is>
      </c>
    </row>
    <row r="41">
      <c r="A41" t="inlineStr">
        <is>
          <t>040</t>
        </is>
      </c>
      <c r="B41" t="inlineStr">
        <is>
          <t>潘伟</t>
        </is>
      </c>
      <c r="C41" t="inlineStr">
        <is>
          <t>技术部</t>
        </is>
      </c>
      <c r="D41" t="n">
        <v>8681</v>
      </c>
      <c r="E41" t="inlineStr">
        <is>
          <t>2022-03-31</t>
        </is>
      </c>
      <c r="F41" t="inlineStr">
        <is>
          <t>2年8个月</t>
        </is>
      </c>
      <c r="G41" t="inlineStr">
        <is>
          <t>中薪</t>
        </is>
      </c>
    </row>
    <row r="42">
      <c r="A42" t="inlineStr">
        <is>
          <t>041</t>
        </is>
      </c>
      <c r="B42" t="inlineStr">
        <is>
          <t>杜芳</t>
        </is>
      </c>
      <c r="C42" t="inlineStr">
        <is>
          <t>技术部</t>
        </is>
      </c>
      <c r="D42" t="n">
        <v>12679</v>
      </c>
      <c r="E42" t="inlineStr">
        <is>
          <t>2018-11-19</t>
        </is>
      </c>
      <c r="F42" t="inlineStr">
        <is>
          <t>6年0个月</t>
        </is>
      </c>
      <c r="G42" t="inlineStr">
        <is>
          <t>中薪</t>
        </is>
      </c>
    </row>
    <row r="43">
      <c r="A43" t="inlineStr">
        <is>
          <t>042</t>
        </is>
      </c>
      <c r="B43" t="inlineStr">
        <is>
          <t>戴强</t>
        </is>
      </c>
      <c r="C43" t="inlineStr">
        <is>
          <t>财务部</t>
        </is>
      </c>
      <c r="D43" t="n">
        <v>8575</v>
      </c>
      <c r="E43" t="inlineStr">
        <is>
          <t>2021-04-15</t>
        </is>
      </c>
      <c r="F43" t="inlineStr">
        <is>
          <t>3年7个月</t>
        </is>
      </c>
      <c r="G43" t="inlineStr">
        <is>
          <t>中薪</t>
        </is>
      </c>
    </row>
    <row r="44">
      <c r="A44" t="inlineStr">
        <is>
          <t>043</t>
        </is>
      </c>
      <c r="B44" t="inlineStr">
        <is>
          <t>夏丽</t>
        </is>
      </c>
      <c r="C44" t="inlineStr">
        <is>
          <t>技术部</t>
        </is>
      </c>
      <c r="D44" t="n">
        <v>12081</v>
      </c>
      <c r="E44" t="inlineStr">
        <is>
          <t>2022-01-21</t>
        </is>
      </c>
      <c r="F44" t="inlineStr">
        <is>
          <t>2年10个月</t>
        </is>
      </c>
      <c r="G44" t="inlineStr">
        <is>
          <t>中薪</t>
        </is>
      </c>
    </row>
    <row r="45">
      <c r="A45" t="inlineStr">
        <is>
          <t>044</t>
        </is>
      </c>
      <c r="B45" t="inlineStr">
        <is>
          <t>钟伟</t>
        </is>
      </c>
      <c r="C45" t="inlineStr">
        <is>
          <t>市场部</t>
        </is>
      </c>
      <c r="D45" t="n">
        <v>22394</v>
      </c>
      <c r="E45" t="inlineStr">
        <is>
          <t>2020-02-27</t>
        </is>
      </c>
      <c r="F45" t="inlineStr">
        <is>
          <t>4年9个月</t>
        </is>
      </c>
      <c r="G45" t="inlineStr">
        <is>
          <t>高薪</t>
        </is>
      </c>
    </row>
    <row r="46">
      <c r="A46" t="inlineStr">
        <is>
          <t>045</t>
        </is>
      </c>
      <c r="B46" t="inlineStr">
        <is>
          <t>汪芳</t>
        </is>
      </c>
      <c r="C46" t="inlineStr">
        <is>
          <t>市场部</t>
        </is>
      </c>
      <c r="D46" t="n">
        <v>21661</v>
      </c>
      <c r="E46" t="inlineStr">
        <is>
          <t>2018-10-12</t>
        </is>
      </c>
      <c r="F46" t="inlineStr">
        <is>
          <t>6年1个月</t>
        </is>
      </c>
      <c r="G46" t="inlineStr">
        <is>
          <t>高薪</t>
        </is>
      </c>
    </row>
    <row r="47">
      <c r="A47" t="inlineStr">
        <is>
          <t>046</t>
        </is>
      </c>
      <c r="B47" t="inlineStr">
        <is>
          <t>田强</t>
        </is>
      </c>
      <c r="C47" t="inlineStr">
        <is>
          <t>销售部</t>
        </is>
      </c>
      <c r="D47" t="n">
        <v>12609</v>
      </c>
      <c r="E47" t="inlineStr">
        <is>
          <t>2018-07-07</t>
        </is>
      </c>
      <c r="F47" t="inlineStr">
        <is>
          <t>6年4个月</t>
        </is>
      </c>
      <c r="G47" t="inlineStr">
        <is>
          <t>中薪</t>
        </is>
      </c>
    </row>
    <row r="48">
      <c r="A48" t="inlineStr">
        <is>
          <t>047</t>
        </is>
      </c>
      <c r="B48" t="inlineStr">
        <is>
          <t>任丽</t>
        </is>
      </c>
      <c r="C48" t="inlineStr">
        <is>
          <t>市场部</t>
        </is>
      </c>
      <c r="D48" t="n">
        <v>23155</v>
      </c>
      <c r="E48" t="inlineStr">
        <is>
          <t>2020-07-22</t>
        </is>
      </c>
      <c r="F48" t="inlineStr">
        <is>
          <t>4年4个月</t>
        </is>
      </c>
      <c r="G48" t="inlineStr">
        <is>
          <t>高薪</t>
        </is>
      </c>
    </row>
    <row r="49">
      <c r="A49" t="inlineStr">
        <is>
          <t>048</t>
        </is>
      </c>
      <c r="B49" t="inlineStr">
        <is>
          <t>姜伟</t>
        </is>
      </c>
      <c r="C49" t="inlineStr">
        <is>
          <t>财务部</t>
        </is>
      </c>
      <c r="D49" t="n">
        <v>18038</v>
      </c>
      <c r="E49" t="inlineStr">
        <is>
          <t>2021-03-31</t>
        </is>
      </c>
      <c r="F49" t="inlineStr">
        <is>
          <t>3年8个月</t>
        </is>
      </c>
      <c r="G49" t="inlineStr">
        <is>
          <t>高薪</t>
        </is>
      </c>
    </row>
    <row r="50">
      <c r="A50" t="inlineStr">
        <is>
          <t>049</t>
        </is>
      </c>
      <c r="B50" t="inlineStr">
        <is>
          <t>范芳</t>
        </is>
      </c>
      <c r="C50" t="inlineStr">
        <is>
          <t>人事部</t>
        </is>
      </c>
      <c r="D50" t="n">
        <v>23121</v>
      </c>
      <c r="E50" t="inlineStr">
        <is>
          <t>2018-11-23</t>
        </is>
      </c>
      <c r="F50" t="inlineStr">
        <is>
          <t>6年0个月</t>
        </is>
      </c>
      <c r="G50" t="inlineStr">
        <is>
          <t>高薪</t>
        </is>
      </c>
    </row>
    <row r="51">
      <c r="A51" t="inlineStr">
        <is>
          <t>050</t>
        </is>
      </c>
      <c r="B51" t="inlineStr">
        <is>
          <t>方强</t>
        </is>
      </c>
      <c r="C51" t="inlineStr">
        <is>
          <t>销售部</t>
        </is>
      </c>
      <c r="D51" t="n">
        <v>17087</v>
      </c>
      <c r="E51" t="inlineStr">
        <is>
          <t>2020-08-11</t>
        </is>
      </c>
      <c r="F51" t="inlineStr">
        <is>
          <t>4年3个月</t>
        </is>
      </c>
      <c r="G51" t="inlineStr">
        <is>
          <t>高薪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查询ID</t>
        </is>
      </c>
      <c r="B1" t="inlineStr">
        <is>
          <t>姓名(VLOOKUP)</t>
        </is>
      </c>
      <c r="C1" t="inlineStr">
        <is>
          <t>部门(VLOOKUP)</t>
        </is>
      </c>
      <c r="D1" t="inlineStr">
        <is>
          <t>薪资(VLOOKUP)</t>
        </is>
      </c>
      <c r="E1" t="inlineStr">
        <is>
          <t>姓名(INDEX+MATCH)</t>
        </is>
      </c>
      <c r="F1" t="inlineStr">
        <is>
          <t>部门(INDEX+MATCH)</t>
        </is>
      </c>
      <c r="G1" t="inlineStr">
        <is>
          <t>薪资(INDEX+MATCH)</t>
        </is>
      </c>
    </row>
    <row r="2">
      <c r="A2" t="inlineStr">
        <is>
          <t>005</t>
        </is>
      </c>
      <c r="B2">
        <f>VLOOKUP($A$2,员工信息!$A$2:$E$51,2,FALSE)</f>
        <v/>
      </c>
      <c r="C2">
        <f>VLOOKUP($A$2,员工信息!$A$2:$E$51,3,FALSE)</f>
        <v/>
      </c>
      <c r="D2">
        <f>VLOOKUP($A$2,员工信息!$A$2:$E$51,4,FALSE)</f>
        <v/>
      </c>
      <c r="E2">
        <f>INDEX(员工信息!B:B,MATCH($A$2,员工信息!A:A,0))</f>
        <v/>
      </c>
      <c r="F2">
        <f>INDEX(员工信息!C:C,MATCH($A$2,员工信息!A:A,0))</f>
        <v/>
      </c>
      <c r="G2">
        <f>INDEX(员工信息!D:D,MATCH($A$2,员工信息!A:A,0))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筛选部门</t>
        </is>
      </c>
      <c r="B1" t="inlineStr">
        <is>
          <t>说明</t>
        </is>
      </c>
    </row>
    <row r="2">
      <c r="A2" t="inlineStr">
        <is>
          <t>销售部</t>
        </is>
      </c>
      <c r="B2" t="inlineStr">
        <is>
          <t>在下方使用FILTER函数筛选该部门所有员工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2026-06-18T10:55:06Z</dcterms:created>
  <dcterms:modified xsi:type="dcterms:W3CDTF">2026-06-18T10:55:06Z</dcterms:modified>
</cp:coreProperties>
</file>